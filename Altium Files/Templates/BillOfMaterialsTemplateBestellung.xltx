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dev\Templates\altium\"/>
    </mc:Choice>
  </mc:AlternateContent>
  <bookViews>
    <workbookView xWindow="0" yWindow="0" windowWidth="28800" windowHeight="12450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R5" i="1" s="1"/>
  <c r="J4" i="1"/>
  <c r="R4" i="1" s="1"/>
  <c r="J1" i="1" s="1"/>
  <c r="N5" i="1" l="1"/>
  <c r="N4" i="1"/>
  <c r="D5" i="1" l="1"/>
  <c r="D4" i="1"/>
  <c r="C5" i="1"/>
  <c r="C4" i="1"/>
  <c r="A5" i="1" l="1"/>
  <c r="A4" i="1" l="1"/>
</calcChain>
</file>

<file path=xl/sharedStrings.xml><?xml version="1.0" encoding="utf-8"?>
<sst xmlns="http://schemas.openxmlformats.org/spreadsheetml/2006/main" count="25" uniqueCount="21">
  <si>
    <t>Column=Description</t>
  </si>
  <si>
    <t>Field=ProjectName</t>
  </si>
  <si>
    <t>Datum</t>
  </si>
  <si>
    <t>Besteller</t>
  </si>
  <si>
    <t>Visum</t>
  </si>
  <si>
    <t>Projekt</t>
  </si>
  <si>
    <t>Fälligkeit</t>
  </si>
  <si>
    <t>Column=Supplier 1</t>
  </si>
  <si>
    <t>Column=Supplier Part Number 1</t>
  </si>
  <si>
    <t>Column=Quantity</t>
  </si>
  <si>
    <t>Column=Supplier Unit Price 1</t>
  </si>
  <si>
    <t>Quantity</t>
  </si>
  <si>
    <t>Field=Author</t>
  </si>
  <si>
    <t>Besteller:</t>
  </si>
  <si>
    <t>Privat</t>
  </si>
  <si>
    <t>Status</t>
  </si>
  <si>
    <t>offen</t>
  </si>
  <si>
    <t>Statusdatum</t>
  </si>
  <si>
    <t>Gesamtpreis:</t>
  </si>
  <si>
    <t>Preis</t>
  </si>
  <si>
    <t>Column=Value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</si>
</sst>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;@"/>
    <numFmt numFmtId="165" formatCode="d/mm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Titillium"/>
      <family val="3"/>
    </font>
    <font>
      <b/>
      <sz val="12"/>
      <name val="Titillium"/>
      <family val="3"/>
    </font>
    <font>
      <sz val="12"/>
      <color rgb="FF000000"/>
      <name val="Titillium"/>
      <family val="3"/>
    </font>
    <font>
      <b/>
      <sz val="11"/>
      <color rgb="FF000000"/>
      <name val="Titillium"/>
      <family val="3"/>
    </font>
    <font>
      <b/>
      <sz val="11"/>
      <name val="Titillium"/>
      <family val="3"/>
    </font>
    <font>
      <sz val="12"/>
      <color theme="1"/>
      <name val="Titillium"/>
    </font>
    <font>
      <b/>
      <sz val="12"/>
      <color theme="1"/>
      <name val="Titillium"/>
    </font>
  </fonts>
  <fills count="3">
    <fill>
      <patternFill patternType="none"/>
    </fill>
    <fill>
      <patternFill patternType="gray125"/>
    </fill>
    <fill>
      <patternFill patternType="solid">
        <fgColor rgb="FFB8CCE4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64" fontId="2" fillId="0" borderId="1" xfId="0" applyNumberFormat="1" applyFont="1" applyFill="1" applyBorder="1" applyAlignment="1" applyProtection="1">
      <alignment horizontal="left"/>
    </xf>
    <xf numFmtId="165" fontId="3" fillId="0" borderId="1" xfId="0" applyNumberFormat="1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center"/>
    </xf>
    <xf numFmtId="2" fontId="4" fillId="0" borderId="1" xfId="0" applyNumberFormat="1" applyFont="1" applyFill="1" applyBorder="1" applyAlignment="1" applyProtection="1">
      <alignment horizontal="right"/>
    </xf>
    <xf numFmtId="164" fontId="5" fillId="2" borderId="1" xfId="0" applyNumberFormat="1" applyFont="1" applyFill="1" applyBorder="1" applyAlignment="1" applyProtection="1"/>
    <xf numFmtId="0" fontId="6" fillId="2" borderId="1" xfId="0" applyFont="1" applyFill="1" applyBorder="1" applyAlignment="1" applyProtection="1">
      <alignment horizontal="left"/>
    </xf>
    <xf numFmtId="0" fontId="5" fillId="2" borderId="1" xfId="0" applyFont="1" applyFill="1" applyBorder="1" applyAlignment="1" applyProtection="1"/>
    <xf numFmtId="0" fontId="5" fillId="2" borderId="1" xfId="0" applyFont="1" applyFill="1" applyBorder="1" applyAlignment="1" applyProtection="1">
      <alignment horizontal="left"/>
    </xf>
    <xf numFmtId="2" fontId="5" fillId="2" borderId="1" xfId="0" applyNumberFormat="1" applyFont="1" applyFill="1" applyBorder="1" applyAlignment="1" applyProtection="1">
      <alignment horizontal="left"/>
    </xf>
    <xf numFmtId="14" fontId="4" fillId="0" borderId="1" xfId="0" applyNumberFormat="1" applyFont="1" applyFill="1" applyBorder="1" applyAlignment="1" applyProtection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2" fontId="7" fillId="0" borderId="0" xfId="0" applyNumberFormat="1" applyFont="1" applyAlignment="1">
      <alignment horizontal="left"/>
    </xf>
  </cellXfs>
  <cellStyles count="1">
    <cellStyle name="Standard" xfId="0" builtinId="0"/>
  </cellStyles>
  <dxfs count="5">
    <dxf>
      <fill>
        <patternFill>
          <bgColor rgb="FFFFFFB3"/>
        </patternFill>
      </fill>
    </dxf>
    <dxf>
      <fill>
        <patternFill>
          <bgColor rgb="FF8DB4E2"/>
        </patternFill>
      </fill>
    </dxf>
    <dxf>
      <fill>
        <patternFill>
          <bgColor rgb="FFC4D79B"/>
        </patternFill>
      </fill>
    </dxf>
    <dxf>
      <fill>
        <patternFill>
          <bgColor theme="0" tint="-0.499984740745262"/>
        </patternFill>
      </fill>
    </dxf>
    <dxf>
      <fill>
        <patternFill>
          <bgColor rgb="FFCCC0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"/>
  <sheetViews>
    <sheetView tabSelected="1" topLeftCell="D1" zoomScale="85" zoomScaleNormal="85" workbookViewId="0">
      <selection activeCell="G32" sqref="G32"/>
    </sheetView>
  </sheetViews>
  <sheetFormatPr baseColWidth="10" defaultColWidth="11.3984375" defaultRowHeight="14.25" x14ac:dyDescent="0.45"/>
  <cols>
    <col min="1" max="1" width="22.86328125" style="1" bestFit="1" customWidth="1"/>
    <col min="2" max="2" width="9.73046875" style="1" customWidth="1"/>
    <col min="3" max="3" width="19.86328125" style="1" customWidth="1"/>
    <col min="4" max="4" width="21.3984375" style="1" bestFit="1" customWidth="1"/>
    <col min="5" max="5" width="18.1328125" style="1" bestFit="1" customWidth="1"/>
    <col min="6" max="6" width="11.3984375" style="1"/>
    <col min="7" max="7" width="21.3984375" style="1" bestFit="1" customWidth="1"/>
    <col min="8" max="8" width="20.1328125" style="1" bestFit="1" customWidth="1"/>
    <col min="9" max="9" width="32.1328125" style="1" bestFit="1" customWidth="1"/>
    <col min="10" max="10" width="19" style="1" bestFit="1" customWidth="1"/>
    <col min="11" max="11" width="28" style="1" bestFit="1" customWidth="1"/>
    <col min="12" max="12" width="11.3984375" style="1"/>
    <col min="13" max="13" width="13.86328125" style="1" customWidth="1"/>
    <col min="14" max="14" width="11.9296875" style="1" bestFit="1" customWidth="1"/>
    <col min="15" max="15" width="11.3984375" style="1"/>
    <col min="16" max="16" width="12.3984375" style="1" bestFit="1" customWidth="1"/>
    <col min="17" max="17" width="14.796875" style="1" bestFit="1" customWidth="1"/>
    <col min="18" max="16384" width="11.3984375" style="1"/>
  </cols>
  <sheetData>
    <row r="1" spans="1:18" ht="18.399999999999999" x14ac:dyDescent="0.7">
      <c r="A1" s="15" t="s">
        <v>1</v>
      </c>
      <c r="B1" s="14"/>
      <c r="C1" s="14"/>
      <c r="D1" s="15" t="s">
        <v>11</v>
      </c>
      <c r="E1" s="14">
        <v>1</v>
      </c>
      <c r="F1" s="15" t="s">
        <v>13</v>
      </c>
      <c r="G1" s="14" t="s">
        <v>12</v>
      </c>
      <c r="H1" s="14"/>
      <c r="I1" s="15" t="s">
        <v>18</v>
      </c>
      <c r="J1" s="16">
        <f>SUM(R4:R500)</f>
        <v>0</v>
      </c>
    </row>
    <row r="3" spans="1:18" ht="16.899999999999999" x14ac:dyDescent="0.65">
      <c r="A3" s="8" t="s">
        <v>2</v>
      </c>
      <c r="B3" s="9" t="s">
        <v>14</v>
      </c>
      <c r="C3" s="10" t="s">
        <v>3</v>
      </c>
      <c r="D3" s="10" t="s">
        <v>4</v>
      </c>
      <c r="E3" s="10" t="s">
        <v>5</v>
      </c>
      <c r="F3" s="11" t="s">
        <v>6</v>
      </c>
      <c r="G3" s="10" t="s">
        <v>0</v>
      </c>
      <c r="H3" s="10" t="s">
        <v>7</v>
      </c>
      <c r="I3" s="11" t="s">
        <v>8</v>
      </c>
      <c r="J3" s="11" t="s">
        <v>11</v>
      </c>
      <c r="K3" s="12" t="s">
        <v>10</v>
      </c>
      <c r="L3" s="2"/>
      <c r="M3" s="10" t="s">
        <v>15</v>
      </c>
      <c r="N3" s="10" t="s">
        <v>17</v>
      </c>
      <c r="P3" s="1" t="s">
        <v>20</v>
      </c>
      <c r="Q3" s="1" t="s">
        <v>9</v>
      </c>
      <c r="R3" s="1" t="s">
        <v>19</v>
      </c>
    </row>
    <row r="4" spans="1:18" ht="18.399999999999999" x14ac:dyDescent="0.7">
      <c r="A4" s="3">
        <f ca="1">TODAY()</f>
        <v>43853</v>
      </c>
      <c r="B4" s="4"/>
      <c r="C4" s="5" t="str">
        <f>$G$1</f>
        <v>Field=Author</v>
      </c>
      <c r="D4" s="5" t="str">
        <f>$G$1</f>
        <v>Field=Author</v>
      </c>
      <c r="E4" s="5" t="s">
        <v>1</v>
      </c>
      <c r="F4" s="5"/>
      <c r="G4" s="5"/>
      <c r="H4" s="5"/>
      <c r="I4" s="5"/>
      <c r="J4" s="6">
        <f>Q4*$E$1</f>
        <v>0</v>
      </c>
      <c r="K4" s="7"/>
      <c r="M4" s="6" t="s">
        <v>16</v>
      </c>
      <c r="N4" s="13">
        <f ca="1">TODAY()</f>
        <v>43853</v>
      </c>
      <c r="R4" s="1">
        <f>J4*K4</f>
        <v>0</v>
      </c>
    </row>
    <row r="5" spans="1:18" ht="18.399999999999999" x14ac:dyDescent="0.7">
      <c r="A5" s="3">
        <f ca="1">TODAY()</f>
        <v>43853</v>
      </c>
      <c r="B5" s="4"/>
      <c r="C5" s="5" t="str">
        <f>$G$1</f>
        <v>Field=Author</v>
      </c>
      <c r="D5" s="5" t="str">
        <f>$G$1</f>
        <v>Field=Author</v>
      </c>
      <c r="E5" s="5" t="s">
        <v>1</v>
      </c>
      <c r="F5" s="5"/>
      <c r="G5" s="5"/>
      <c r="H5" s="5"/>
      <c r="I5" s="5"/>
      <c r="J5" s="6">
        <f>Q5*$E$1</f>
        <v>0</v>
      </c>
      <c r="K5" s="7"/>
      <c r="M5" s="6" t="s">
        <v>16</v>
      </c>
      <c r="N5" s="13">
        <f ca="1">TODAY()</f>
        <v>43853</v>
      </c>
      <c r="R5" s="1">
        <f>J5*K5</f>
        <v>0</v>
      </c>
    </row>
  </sheetData>
  <conditionalFormatting sqref="C4:C5">
    <cfRule type="expression" dxfId="4" priority="5" stopIfTrue="1">
      <formula>IF($D$2&gt;0,$D$2=$D4,C4=Benutzer)</formula>
    </cfRule>
  </conditionalFormatting>
  <conditionalFormatting sqref="M4:M5">
    <cfRule type="expression" dxfId="3" priority="1">
      <formula>M4="gestoppt"</formula>
    </cfRule>
    <cfRule type="expression" dxfId="2" priority="2" stopIfTrue="1">
      <formula>M4="Wareneingang"</formula>
    </cfRule>
    <cfRule type="expression" dxfId="1" priority="3" stopIfTrue="1">
      <formula>M4="bestellt"</formula>
    </cfRule>
    <cfRule type="expression" dxfId="0" priority="4" stopIfTrue="1">
      <formula>M4="offen"</formula>
    </cfRule>
  </conditionalFormatting>
  <pageMargins left="0.7" right="0.7" top="0.78740157499999996" bottom="0.78740157499999996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ICT Berufsbildungscenter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Farine Marco</dc:creator>
  <cp:lastModifiedBy>Farine Marco</cp:lastModifiedBy>
  <cp:lastPrinted>2020-01-17T08:38:46Z</cp:lastPrinted>
  <dcterms:created xsi:type="dcterms:W3CDTF">2020-01-17T08:38:38Z</dcterms:created>
  <dcterms:modified xsi:type="dcterms:W3CDTF">2020-01-23T15:23:20Z</dcterms:modified>
</cp:coreProperties>
</file>